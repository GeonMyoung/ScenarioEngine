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lements\_SDK_\dimz\dz1_tools\dz1_asn1\doc\"/>
    </mc:Choice>
  </mc:AlternateContent>
  <xr:revisionPtr revIDLastSave="0" documentId="8_{DFCD007F-D724-435E-94B0-8DE94B509BD8}" xr6:coauthVersionLast="36" xr6:coauthVersionMax="36" xr10:uidLastSave="{00000000-0000-0000-0000-000000000000}"/>
  <bookViews>
    <workbookView xWindow="0" yWindow="0" windowWidth="27585" windowHeight="12885" xr2:uid="{2D6DDD63-3125-42A7-AD88-280A9B3D6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C8" i="1"/>
  <c r="D8" i="1" s="1"/>
  <c r="E8" i="1" s="1"/>
  <c r="B7" i="1"/>
  <c r="C7" i="1" s="1"/>
  <c r="D7" i="1" s="1"/>
  <c r="E7" i="1" s="1"/>
  <c r="B6" i="1"/>
  <c r="C6" i="1" s="1"/>
  <c r="D6" i="1" s="1"/>
  <c r="E6" i="1" s="1"/>
  <c r="B5" i="1"/>
  <c r="C5" i="1" s="1"/>
  <c r="D5" i="1" s="1"/>
  <c r="E5" i="1" s="1"/>
  <c r="B4" i="1"/>
  <c r="C4" i="1" s="1"/>
  <c r="D4" i="1" s="1"/>
  <c r="E4" i="1" s="1"/>
  <c r="B3" i="1"/>
  <c r="C3" i="1" s="1"/>
  <c r="D3" i="1" s="1"/>
  <c r="E3" i="1" s="1"/>
  <c r="C2" i="1"/>
  <c r="D2" i="1" s="1"/>
  <c r="E2" i="1" s="1"/>
</calcChain>
</file>

<file path=xl/sharedStrings.xml><?xml version="1.0" encoding="utf-8"?>
<sst xmlns="http://schemas.openxmlformats.org/spreadsheetml/2006/main" count="19" uniqueCount="19">
  <si>
    <t>문자 수</t>
    <phoneticPr fontId="2" type="noConversion"/>
  </si>
  <si>
    <t>B</t>
    <phoneticPr fontId="2" type="noConversion"/>
  </si>
  <si>
    <t>B2</t>
    <phoneticPr fontId="2" type="noConversion"/>
  </si>
  <si>
    <t>y</t>
    <phoneticPr fontId="2" type="noConversion"/>
  </si>
  <si>
    <t>문자열</t>
    <phoneticPr fontId="2" type="noConversion"/>
  </si>
  <si>
    <t>문자 내용</t>
    <phoneticPr fontId="2" type="noConversion"/>
  </si>
  <si>
    <t>(SP) + 10</t>
    <phoneticPr fontId="2" type="noConversion"/>
  </si>
  <si>
    <t>Printable</t>
    <phoneticPr fontId="2" type="noConversion"/>
  </si>
  <si>
    <t>22+26+26</t>
    <phoneticPr fontId="2" type="noConversion"/>
  </si>
  <si>
    <t>126-32+1</t>
    <phoneticPr fontId="2" type="noConversion"/>
  </si>
  <si>
    <t>IA5</t>
    <phoneticPr fontId="2" type="noConversion"/>
  </si>
  <si>
    <t>127-0+1</t>
    <phoneticPr fontId="2" type="noConversion"/>
  </si>
  <si>
    <t>BMP</t>
    <phoneticPr fontId="2" type="noConversion"/>
  </si>
  <si>
    <t>65535-0+1</t>
    <phoneticPr fontId="2" type="noConversion"/>
  </si>
  <si>
    <t>Universal</t>
    <phoneticPr fontId="2" type="noConversion"/>
  </si>
  <si>
    <t>4294967295-0+1</t>
    <phoneticPr fontId="2" type="noConversion"/>
  </si>
  <si>
    <t>Custom</t>
    <phoneticPr fontId="2" type="noConversion"/>
  </si>
  <si>
    <t>Numeric</t>
    <phoneticPr fontId="2" type="noConversion"/>
  </si>
  <si>
    <t>Visible(ISO646)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</si>
</sst>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0" borderId="1" xfId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761F-2ECD-47D3-94F3-6D72A54E4119}">
  <dimension ref="A1:F8"/>
  <sheetViews>
    <sheetView tabSelected="1" workbookViewId="0">
      <selection activeCell="A8" sqref="A8"/>
    </sheetView>
  </sheetViews>
  <sheetFormatPr defaultRowHeight="16.5" x14ac:dyDescent="0.3"/>
  <cols>
    <col min="1" max="1" width="14.875" bestFit="1" customWidth="1"/>
    <col min="2" max="2" width="14.625" bestFit="1" customWidth="1"/>
    <col min="3" max="5" width="3.875" customWidth="1"/>
    <col min="6" max="6" width="16.25" bestFit="1" customWidth="1"/>
  </cols>
  <sheetData>
    <row r="1" spans="1:6" x14ac:dyDescent="0.3">
      <c r="A1" s="4" t="s">
        <v>4</v>
      </c>
      <c r="B1" s="4" t="s">
        <v>0</v>
      </c>
      <c r="C1" s="4" t="s">
        <v>1</v>
      </c>
      <c r="D1" s="4" t="s">
        <v>3</v>
      </c>
      <c r="E1" s="4" t="s">
        <v>2</v>
      </c>
      <c r="F1" s="4" t="s">
        <v>5</v>
      </c>
    </row>
    <row r="2" spans="1:6" x14ac:dyDescent="0.3">
      <c r="A2" s="1" t="s">
        <v>17</v>
      </c>
      <c r="B2" s="2">
        <v>11</v>
      </c>
      <c r="C2" s="1">
        <f>ROUNDUP(LOG(B2, 2), 0)</f>
        <v>4</v>
      </c>
      <c r="D2" s="1">
        <f>ROUNDUP(LOG(C2,2), 0)</f>
        <v>2</v>
      </c>
      <c r="E2" s="1">
        <f>2^D2</f>
        <v>4</v>
      </c>
      <c r="F2" s="3" t="s">
        <v>6</v>
      </c>
    </row>
    <row r="3" spans="1:6" x14ac:dyDescent="0.3">
      <c r="A3" s="1" t="s">
        <v>7</v>
      </c>
      <c r="B3" s="2">
        <f>22+26+26</f>
        <v>74</v>
      </c>
      <c r="C3" s="1">
        <f>ROUNDUP(LOG(B3, 2), 0)</f>
        <v>7</v>
      </c>
      <c r="D3" s="1">
        <f>ROUNDUP(LOG(C3,2), 0)</f>
        <v>3</v>
      </c>
      <c r="E3" s="1">
        <f>2^D3</f>
        <v>8</v>
      </c>
      <c r="F3" s="3" t="s">
        <v>8</v>
      </c>
    </row>
    <row r="4" spans="1:6" x14ac:dyDescent="0.3">
      <c r="A4" s="1" t="s">
        <v>18</v>
      </c>
      <c r="B4" s="2">
        <f>126-32+1</f>
        <v>95</v>
      </c>
      <c r="C4" s="1">
        <f>ROUNDUP(LOG(B4, 2), 0)</f>
        <v>7</v>
      </c>
      <c r="D4" s="1">
        <f>ROUNDUP(LOG(C4,2), 0)</f>
        <v>3</v>
      </c>
      <c r="E4" s="1">
        <f>2^D4</f>
        <v>8</v>
      </c>
      <c r="F4" s="3" t="s">
        <v>9</v>
      </c>
    </row>
    <row r="5" spans="1:6" x14ac:dyDescent="0.3">
      <c r="A5" s="1" t="s">
        <v>10</v>
      </c>
      <c r="B5" s="2">
        <f>127-0+1</f>
        <v>128</v>
      </c>
      <c r="C5" s="1">
        <f>ROUNDUP(LOG(B5, 2), 0)</f>
        <v>7</v>
      </c>
      <c r="D5" s="1">
        <f>ROUNDUP(LOG(C5,2), 0)</f>
        <v>3</v>
      </c>
      <c r="E5" s="1">
        <f>2^D5</f>
        <v>8</v>
      </c>
      <c r="F5" s="3" t="s">
        <v>11</v>
      </c>
    </row>
    <row r="6" spans="1:6" x14ac:dyDescent="0.3">
      <c r="A6" s="1" t="s">
        <v>12</v>
      </c>
      <c r="B6" s="2">
        <f>65535-0+1</f>
        <v>65536</v>
      </c>
      <c r="C6" s="1">
        <f>ROUNDUP(LOG(B6, 2), 0)</f>
        <v>16</v>
      </c>
      <c r="D6" s="1">
        <f>ROUNDUP(LOG(C6,2), 0)</f>
        <v>4</v>
      </c>
      <c r="E6" s="1">
        <f>2^D6</f>
        <v>16</v>
      </c>
      <c r="F6" s="3" t="s">
        <v>13</v>
      </c>
    </row>
    <row r="7" spans="1:6" x14ac:dyDescent="0.3">
      <c r="A7" s="1" t="s">
        <v>14</v>
      </c>
      <c r="B7" s="2">
        <f>4294967295-0+1</f>
        <v>4294967296</v>
      </c>
      <c r="C7" s="1">
        <f>ROUNDUP(LOG(B7, 2), 0)</f>
        <v>32</v>
      </c>
      <c r="D7" s="1">
        <f>ROUNDUP(LOG(C7,2), 0)</f>
        <v>5</v>
      </c>
      <c r="E7" s="1">
        <f>2^D7</f>
        <v>32</v>
      </c>
      <c r="F7" s="3" t="s">
        <v>15</v>
      </c>
    </row>
    <row r="8" spans="1:6" x14ac:dyDescent="0.3">
      <c r="A8" s="1" t="s">
        <v>16</v>
      </c>
      <c r="B8" s="2">
        <f>3+2+1</f>
        <v>6</v>
      </c>
      <c r="C8" s="1">
        <f>ROUNDUP(LOG(B8, 2), 0)</f>
        <v>3</v>
      </c>
      <c r="D8" s="1">
        <f>ROUNDUP(LOG(C8,2), 0)</f>
        <v>2</v>
      </c>
      <c r="E8" s="1">
        <f>2^D8</f>
        <v>4</v>
      </c>
      <c r="F8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Tachyon</dc:creator>
  <cp:lastModifiedBy>Tachyon</cp:lastModifiedBy>
  <dcterms:created xsi:type="dcterms:W3CDTF">2024-01-30T02:19:54Z</dcterms:created>
  <dcterms:modified xsi:type="dcterms:W3CDTF">2024-01-30T02:34:58Z</dcterms:modified>
</cp:coreProperties>
</file>